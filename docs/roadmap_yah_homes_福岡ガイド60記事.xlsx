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0記事リスト" sheetId="1" r:id="rId4"/>
    <sheet state="visible" name="サマリー" sheetId="2" r:id="rId5"/>
  </sheets>
  <definedNames>
    <definedName hidden="1" localSheetId="0" name="_xlnm._FilterDatabase">'60記事リスト'!$B$1:$K$61</definedName>
  </definedNames>
  <calcPr/>
  <extLst>
    <ext uri="GoogleSheetsCustomDataVersion2">
      <go:sheetsCustomData xmlns:go="http://customooxmlschemas.google.com/" r:id="rId6" roundtripDataChecksum="V4xlJ6KUGQRYht5APNNqaW2y1MFRRtGChElCD7Ps7K8="/>
    </ext>
  </extLst>
</workbook>
</file>

<file path=xl/sharedStrings.xml><?xml version="1.0" encoding="utf-8"?>
<sst xmlns="http://schemas.openxmlformats.org/spreadsheetml/2006/main" count="639" uniqueCount="322">
  <si>
    <t>ステータス</t>
  </si>
  <si>
    <t>ID</t>
  </si>
  <si>
    <t>層</t>
  </si>
  <si>
    <t>記事タイトル（日本語）</t>
  </si>
  <si>
    <t>優先度</t>
  </si>
  <si>
    <t>一次情報・備考（分離設計含む）</t>
  </si>
  <si>
    <t>手渡し先</t>
  </si>
  <si>
    <t>目標月</t>
  </si>
  <si>
    <t>根拠クエリ（574語正本）</t>
  </si>
  <si>
    <t>実査Vol/月</t>
  </si>
  <si>
    <t>MEMO</t>
  </si>
  <si>
    <t>未着手</t>
  </si>
  <si>
    <t>A1</t>
  </si>
  <si>
    <t>A 徒歩圏</t>
  </si>
  <si>
    <t>那珂川リバーサイドの朝・夕・夜 — 清川の川辺を歩く</t>
  </si>
  <si>
    <t>P3</t>
  </si>
  <si>
    <t>川沿い実写（時間帯3種）・徒歩実測</t>
  </si>
  <si>
    <t>清川</t>
  </si>
  <si>
    <t>2026-09</t>
  </si>
  <si>
    <t>福岡 那珂川沿い 宿／riverside accommodation fukuoka／ที่พักฟุกุโอกะ วิวแม่น้ำ</t>
  </si>
  <si>
    <t>&lt;10</t>
  </si>
  <si>
    <t>A2</t>
  </si>
  <si>
    <t>柳橋連合市場で買って、宿の台所で作る（実践編）</t>
  </si>
  <si>
    <t>買い物実録・レシピ・金額。#13(市場ガイド)とはintent分離＝実践編</t>
  </si>
  <si>
    <t>連泊キッチン・清川</t>
  </si>
  <si>
    <t>ที่พักใกล้ตลาดยานางิบาชิ／yanagibashi fish market／柳橋連合市場 近く 宿</t>
  </si>
  <si>
    <t>A3</t>
  </si>
  <si>
    <t>住吉神社まで徒歩15分 — 朝参りのすすめ</t>
  </si>
  <si>
    <t>徒歩実測・朝の実写</t>
  </si>
  <si>
    <t>年末年始(#18)</t>
  </si>
  <si>
    <t>住吉神社 近く 宿</t>
  </si>
  <si>
    <t>A4</t>
  </si>
  <si>
    <t>渡辺通・薬院の夜ごはん — グループで入れる店</t>
  </si>
  <si>
    <t>実訪・大人数可否を電話確認・確認日</t>
  </si>
  <si>
    <t>高砂</t>
  </si>
  <si>
    <t>渡辺通駅 近く ホテル／薬院 民泊／야쿠인 근처 숙소／渡邊通 住宿</t>
  </si>
  <si>
    <t>A5</t>
  </si>
  <si>
    <t>キャナルシティへ歩いて行く — 実測ルートと所要時間</t>
  </si>
  <si>
    <t>徒歩実測（ベビーカー可否含む）</t>
  </si>
  <si>
    <t>キャナルシティ 近く 民泊／博多運河城附近住宿／캐널시티 근처 숙소／ที่พักใกล้ canal city</t>
  </si>
  <si>
    <t>A6</t>
  </si>
  <si>
    <t>中洲は家族で行っても大丈夫？ — 正直ガイド</t>
  </si>
  <si>
    <t>P2</t>
  </si>
  <si>
    <t>昼夜の実写・家族視点の正直評価</t>
  </si>
  <si>
    <t>清川・高砂</t>
  </si>
  <si>
    <t>中洲 一棟貸し／中洲住宿／나카스 근처 숙소／ที่พักใกล้นากาสุ</t>
  </si>
  <si>
    <t>50</t>
  </si>
  <si>
    <t>A7</t>
  </si>
  <si>
    <t>徒歩圏のスーパー・ドラッグストア実測マップ</t>
  </si>
  <si>
    <t>営業時間・品揃え・価格帯の実査＋確認日</t>
  </si>
  <si>
    <t>連泊キッチン</t>
  </si>
  <si>
    <t>福岡 民泊 キッチン付き／可以煮飯／취사 가능한 숙소／ทำอาหารได้</t>
  </si>
  <si>
    <t>A8</t>
  </si>
  <si>
    <t>徒歩圏の朝ごはん — うどん・パン屋・喫茶</t>
  </si>
  <si>
    <t>実訪・開店時間確認</t>
  </si>
  <si>
    <t>両物件</t>
  </si>
  <si>
    <t>（A7と同クラスタ・自炊しない朝の受け皿）</t>
  </si>
  <si>
    <t>A9</t>
  </si>
  <si>
    <t>子どもと歩ける徒歩圏の公園・遊び場</t>
  </si>
  <si>
    <t>遊具・トイレ・日陰の実査</t>
  </si>
  <si>
    <t>子連れ(#12)・清川</t>
  </si>
  <si>
    <t>things to do in fukuoka with kids／ฟุกุโอกะ ที่เที่ยวสำหรับเด็ก</t>
  </si>
  <si>
    <t>A10</t>
  </si>
  <si>
    <t>雨の日の徒歩圏 — アーケードと屋内の過ごし方</t>
  </si>
  <si>
    <t>屋根つきルート実測</t>
  </si>
  <si>
    <t>子連れ・季節記事</t>
  </si>
  <si>
    <t>2026-10</t>
  </si>
  <si>
    <t>（雨天需要・季節記事群の受け皿）</t>
  </si>
  <si>
    <t>A11</t>
  </si>
  <si>
    <t>コンビニ・ATM・両替・薬局の実測</t>
  </si>
  <si>
    <t>位置・海外カード対応の実査＋確認日</t>
  </si>
  <si>
    <t>全記事共通</t>
  </si>
  <si>
    <t>（訪日FIT実用・GEO向けFAQ集約）</t>
  </si>
  <si>
    <t>A12</t>
  </si>
  <si>
    <t>洗濯どうする？ — 宿の洗濯機とコインランドリー</t>
  </si>
  <si>
    <t>機種・乾燥可否・近隣ランドリー実査</t>
  </si>
  <si>
    <t>連泊・長期滞在系</t>
  </si>
  <si>
    <t>福岡 洗濯機付き 宿／세탁기 있는 숙소／福岡民宿 洗衣機／มีเครื่องซักผ้า</t>
  </si>
  <si>
    <t>A13</t>
  </si>
  <si>
    <t>徒歩圏の銭湯 — 大きなお風呂に入りたい日</t>
  </si>
  <si>
    <t>実訪・料金・タトゥー可否確認</t>
  </si>
  <si>
    <t>（浴室1つの正直な補完＝迷いつぶし）</t>
  </si>
  <si>
    <t>A14</t>
  </si>
  <si>
    <t>繁華街まで10分なのに夜静かな理由 — 立地の解剖</t>
  </si>
  <si>
    <t>夜間の実測音・街の実写</t>
  </si>
  <si>
    <t>（治安・騒音系FAQの受け皿）</t>
  </si>
  <si>
    <t>A15</t>
  </si>
  <si>
    <t>天神まで車8分・徒歩圏 — 実測でみるアクセス</t>
  </si>
  <si>
    <t>車・徒歩・地下鉄の3実測</t>
  </si>
  <si>
    <t>天神博多比較・清川</t>
  </si>
  <si>
    <t>天神 民泊／天神住宿／텐진 근처 숙소／ที่พักย่านเท็นจิน</t>
  </si>
  <si>
    <t>500</t>
  </si>
  <si>
    <t>A16</t>
  </si>
  <si>
    <t>博多駅から宿まで — タクシー・地下鉄・徒歩の実測</t>
  </si>
  <si>
    <t>3手段の実測・料金・確認日</t>
  </si>
  <si>
    <t>#27・両物件</t>
  </si>
  <si>
    <t>博多駅 民泊 一軒家／하카타 숙소 추천。#27(駅近くに泊まる)とは「駅→宿への行き方」で分離</t>
  </si>
  <si>
    <t>A17</t>
  </si>
  <si>
    <t>テイクアウト・デリバリー事情 — 宿で食べる夜</t>
  </si>
  <si>
    <t>対応エリア・実注文の記録</t>
  </si>
  <si>
    <t>連泊キッチン・両物件</t>
  </si>
  <si>
    <t>（子連れ・大人数の「外食疲れ」受け皿）</t>
  </si>
  <si>
    <t>A18</t>
  </si>
  <si>
    <t>民泊に泊まるときの近所ルール — ゴミ・騒音・駐車</t>
  </si>
  <si>
    <t>実際のハウスルール・地域ルール開示（一次データ）</t>
  </si>
  <si>
    <t>民泊合法(#24)</t>
  </si>
  <si>
    <t>帶嬰兒去福岡 住宿注意事項／(マナー系FAQ)</t>
  </si>
  <si>
    <t>A19</t>
  </si>
  <si>
    <t>徒歩圏の写真スポット — 川・市場・路地</t>
  </si>
  <si>
    <t>実写（スマホ撮影で可）</t>
  </si>
  <si>
    <t>ที่พักฟุกุโอกะ ถ่ายรูปสวย／감성 숙소</t>
  </si>
  <si>
    <t>A20</t>
  </si>
  <si>
    <t>深夜到着・早朝出発 — 24時間の徒歩圏実測</t>
  </si>
  <si>
    <t>24hスーパー・タクシー実測・セルフチェックイン動線</t>
  </si>
  <si>
    <t>B39・両物件</t>
  </si>
  <si>
    <t>늦은 체크인 가능한 숙소／ที่พักฟุกุโอกะ เช็คอินดึก</t>
  </si>
  <si>
    <t>B21</t>
  </si>
  <si>
    <t>B 市内×用途</t>
  </si>
  <si>
    <t>赤ちゃん連れの福岡 — ベビーベッド・ベビーカー・離乳食</t>
  </si>
  <si>
    <t>子連れ(#12)とは月齢で分離（乳児特化）</t>
  </si>
  <si>
    <t>아기랑 숙소／福岡帶嬰兒住宿／baby friendly accommodation／福岡 赤ちゃん連れ 宿</t>
  </si>
  <si>
    <t>B22</t>
  </si>
  <si>
    <t>三世代旅行と親戚の集まり — みんなで泊まれる家</t>
  </si>
  <si>
    <t>記念日(還暦)記事とは「行事なし・集まり」で分離</t>
  </si>
  <si>
    <t>福岡三代同堂住宿／부모님 모시고／family reunion accommodation／福岡 親戚 集まれる 宿／พาพ่อแม่เที่ยวฟุกุโอกะ</t>
  </si>
  <si>
    <t>B23</t>
  </si>
  <si>
    <t>社員旅行・同窓会の宿 — 会社と仲間の福岡</t>
  </si>
  <si>
    <t>#29(団体EN)とは言語・規模で分離</t>
  </si>
  <si>
    <t>福岡員工旅遊住宿／동창회 여행 숙소／福岡 社員旅行 宿 貸切／福岡同學會住宿</t>
  </si>
  <si>
    <t>B24</t>
  </si>
  <si>
    <t>ゴルフ旅行の拠点に福岡市内という選択（ko優先）</t>
  </si>
  <si>
    <t>周辺コース・大型車駐車場の実測</t>
  </si>
  <si>
    <t>후쿠오카 골프여행 숙소</t>
  </si>
  <si>
    <t>B25</t>
  </si>
  <si>
    <t>野球観戦（ホークス）と宿 — 試合の日の泊まり方</t>
  </si>
  <si>
    <t>【カニバリ判定必須】イベント宿記事と</t>
  </si>
  <si>
    <t>イベント宿</t>
  </si>
  <si>
    <t>2026-11</t>
  </si>
  <si>
    <t>福岡看棒球住宿／야구 직관 숙소</t>
  </si>
  <si>
    <t>B26</t>
  </si>
  <si>
    <t>花火大会の夜と宿</t>
  </si>
  <si>
    <t>大会日程は毎年更新前提・確認日明記</t>
  </si>
  <si>
    <t>후쿠오카 불꽃축제 숙소</t>
  </si>
  <si>
    <t>B27</t>
  </si>
  <si>
    <t>クリスマスの福岡 — イルミネーションと宿</t>
  </si>
  <si>
    <t>P1</t>
  </si>
  <si>
    <t>EN優先。締切=2026-11中旬公開</t>
  </si>
  <si>
    <t>christmas in fukuoka（EN）</t>
  </si>
  <si>
    <t>B28</t>
  </si>
  <si>
    <t>冬の福岡（12〜2月）— 寒さ・雪・服装の実際</t>
  </si>
  <si>
    <t>th/ko優先。締切=2026-11末</t>
  </si>
  <si>
    <t>年末年始・旧正月</t>
  </si>
  <si>
    <t>เที่ยวฟุกุโอกะ หน้าหนาว／후쿠오카 연말 숙소</t>
  </si>
  <si>
    <t>B29</t>
  </si>
  <si>
    <t>帰省ラッシュの福岡 — 実家に泊まれない時の家族の宿</t>
  </si>
  <si>
    <t>ja特化・盆と年末の2山。盆版は2027-06までに</t>
  </si>
  <si>
    <t>福岡 帰省 ホテル 家族</t>
  </si>
  <si>
    <t>B30</t>
  </si>
  <si>
    <t>GWの福岡 — 混雑の実際と宿の取り方</t>
  </si>
  <si>
    <t>締切=2027-03末公開（先行索引）</t>
  </si>
  <si>
    <t>福岡 GW 家族旅行 宿</t>
  </si>
  <si>
    <t>B31</t>
  </si>
  <si>
    <t>福岡は何日あれば足りる？ — 正直な答え</t>
  </si>
  <si>
    <t>EN/th優先・directAnswer勝負のGEO玉</t>
  </si>
  <si>
    <t>モデルコース群</t>
  </si>
  <si>
    <t>2026-12</t>
  </si>
  <si>
    <t>how many days in fukuoka（EN500）／เที่ยวฟุกุโอกะกี่วันดี(50)</t>
  </si>
  <si>
    <t>B32</t>
  </si>
  <si>
    <t>福岡3日間モデルコース（英語圏向け）</t>
  </si>
  <si>
    <t>#21(ko 2泊3日)とは言語分離</t>
  </si>
  <si>
    <t>fukuoka 3 day itinerary（EN）</t>
  </si>
  <si>
    <t>B33</t>
  </si>
  <si>
    <t>福岡は行く価値がある？ — 住んでいる者の正直な答え</t>
  </si>
  <si>
    <t>EN優先・一次データ（生活者視点）が武器</t>
  </si>
  <si>
    <t>B31→宿</t>
  </si>
  <si>
    <t>is fukuoka worth visiting（EN）</t>
  </si>
  <si>
    <t>B34</t>
  </si>
  <si>
    <t>家族で回る福岡コース（韓国向け）</t>
  </si>
  <si>
    <t>#21とは家族特化で分離</t>
  </si>
  <si>
    <t>후쿠오카 가족여행 코스(50)／2박3일 가족여행 코스</t>
  </si>
  <si>
    <t>B35</t>
  </si>
  <si>
    <t>子どもと福岡 — 雨でも動ける屋内プラン</t>
  </si>
  <si>
    <t>A9(徒歩圏)とは市内全域で分離</t>
  </si>
  <si>
    <t>子連れ(#12)</t>
  </si>
  <si>
    <t>things to do in fukuoka with kids／is fukuoka good for kids</t>
  </si>
  <si>
    <t>B36</t>
  </si>
  <si>
    <t>レンタカーで福岡・近郊へ — 駐車場つきの宿を拠点に</t>
  </si>
  <si>
    <t>月極駐車場記事とは「旅程側」で分離</t>
  </si>
  <si>
    <t>両物件（駐車場）</t>
  </si>
  <si>
    <t>福岡自駕 住宿(50)／福岡 大型車 駐車場 宿／มีที่จอดรถตู้</t>
  </si>
  <si>
    <t>B37</t>
  </si>
  <si>
    <t>福岡に1〜2週間滞在する — 中期滞在の実際</t>
  </si>
  <si>
    <t>#22(1ヶ月)とは期間で分離</t>
  </si>
  <si>
    <t>連泊キッチン・#22</t>
  </si>
  <si>
    <t>long stay accommodation／장기 숙박／ที่พักระยะยาว／福岡 長期滞在 宿 キッチン付き</t>
  </si>
  <si>
    <t>B38</t>
  </si>
  <si>
    <t>福岡でワーケーション — 一軒家という仕事場</t>
  </si>
  <si>
    <t>Wi-Fi実測値・作業環境の実写</t>
  </si>
  <si>
    <t>高砂（デスク）</t>
  </si>
  <si>
    <t>福岡 ワーケーション 一軒家／digital nomad accommodation／워케이션 숙소</t>
  </si>
  <si>
    <t>B39</t>
  </si>
  <si>
    <t>セルフチェックイン完全ガイド — 不安をゼロに</t>
  </si>
  <si>
    <t>実際の手順を写真つきで（一次データ）</t>
  </si>
  <si>
    <t>迷いつぶし群</t>
  </si>
  <si>
    <t>2027-01</t>
  </si>
  <si>
    <t>福岡 民泊 セルフチェックイン／self check in／เช็คอินเองได้</t>
  </si>
  <si>
    <t>B40</t>
  </si>
  <si>
    <t>チェックイン前・チェックアウト後の荷物問題</t>
  </si>
  <si>
    <t>実際の対応可否を明記</t>
  </si>
  <si>
    <t>숙소 짐 보관／可以寄放行李嗎／入住時間／退房時間</t>
  </si>
  <si>
    <t>B41</t>
  </si>
  <si>
    <t>子ども料金・添い寝・ベビーベッドの正直な仕組み</t>
  </si>
  <si>
    <t>価格断定せずルールを説明（鉄則③）</t>
  </si>
  <si>
    <t>予約導線</t>
  </si>
  <si>
    <t>福岡 一棟貸し 子供 料金／เด็กพักฟรีไหม／可以加床嗎／아기 침대 있는 숙소</t>
  </si>
  <si>
    <t>B42</t>
  </si>
  <si>
    <t>2人でも一棟貸しはアリ？ — カップル・夫婦の使い方</t>
  </si>
  <si>
    <t>平日価格の割安感を正直に</t>
  </si>
  <si>
    <t>福岡 一棟貸し カップル／후쿠오카 감성 숙소</t>
  </si>
  <si>
    <t>B43</t>
  </si>
  <si>
    <t>当日・直前でも予約できる？ — 直前予約の実際</t>
  </si>
  <si>
    <t>直前割の仕組み説明（価格断定なし）</t>
  </si>
  <si>
    <t>福岡 一棟貸し 当日予約</t>
  </si>
  <si>
    <t>B44</t>
  </si>
  <si>
    <t>5人家族のホテル問題 — 一部屋に泊まれない</t>
  </si>
  <si>
    <t>【カニバリ判定必須】4〜6人記事と。FAQ強化で代替も可</t>
  </si>
  <si>
    <t>4〜6人記事</t>
  </si>
  <si>
    <t>福岡 家族 5人 ホテル 一部屋／accommodation for family of 5</t>
  </si>
  <si>
    <t>B45</t>
  </si>
  <si>
    <t>福岡住宿攻略 — 総合ガイド（繁体字圏向け）</t>
  </si>
  <si>
    <t>zh書き下ろし・既存zh記事のハブ化</t>
  </si>
  <si>
    <t>zh全記事</t>
  </si>
  <si>
    <t>福岡住宿攻略／福岡住宿推薦 2026(50)／福岡住哪一區方便</t>
  </si>
  <si>
    <t>C46</t>
  </si>
  <si>
    <t>C General</t>
  </si>
  <si>
    <t>一棟貸しとは？ — 初めての人の完全入門</t>
  </si>
  <si>
    <t>ヘッド級・最優先（繰上げ可）。定義×使い方×ホテルとの違い</t>
  </si>
  <si>
    <t>一棟貸しガイド・#23</t>
  </si>
  <si>
    <t>一棟貸しとは（ja）</t>
  </si>
  <si>
    <t>C47</t>
  </si>
  <si>
    <t>日本の家の泊まり方 — 靴・お風呂・畳・ゴミの作法</t>
  </si>
  <si>
    <t>EN/th優先・訪日初心者のGEO玉</t>
  </si>
  <si>
    <t>can you rent a whole house in japan／เช่าบ้านทั้งหลังที่ญี่ปุ่นเป็นยังไง</t>
  </si>
  <si>
    <t>C48</t>
  </si>
  <si>
    <t>屋台の実際 — 並ぶ？高い？子連れOK？</t>
  </si>
  <si>
    <t>一次情報必須・美化しない</t>
  </si>
  <si>
    <t>徒歩圏A群</t>
  </si>
  <si>
    <t>（General・実訪の正直レポ）</t>
  </si>
  <si>
    <t>C49</t>
  </si>
  <si>
    <t>福岡の移動入門 — 地下鉄・バス・タクシー実測</t>
  </si>
  <si>
    <t>実測運賃・所要・確認日</t>
  </si>
  <si>
    <t>A15/A16</t>
  </si>
  <si>
    <t>福岡住宿 近地鐵／交通方便／เดินทางสะดวก</t>
  </si>
  <si>
    <t>C50</t>
  </si>
  <si>
    <t>福岡旅行の予算 — グループなら1人いくら？</t>
  </si>
  <si>
    <t>割り勘構造を正直に（価格レンジ＋確認日）</t>
  </si>
  <si>
    <t>งบเท่าไหร่／福岡 大学生 旅行 宿 安い</t>
  </si>
  <si>
    <t>C51</t>
  </si>
  <si>
    <t>福岡のお土産 — 市場とスーパーで買う</t>
  </si>
  <si>
    <t>実売価格帯・確認日</t>
  </si>
  <si>
    <t>A2/A7</t>
  </si>
  <si>
    <t>2027-02</t>
  </si>
  <si>
    <t>（A7接続・General）</t>
  </si>
  <si>
    <t>C52</t>
  </si>
  <si>
    <t>雨の福岡1日プラン</t>
  </si>
  <si>
    <t>屋内動線の実測</t>
  </si>
  <si>
    <t>B35/A10</t>
  </si>
  <si>
    <t>（雨天需要・季節記事の受け皿）</t>
  </si>
  <si>
    <t>C53</t>
  </si>
  <si>
    <t>福岡の治安と夜の歩き方 — 家族視点で正直に</t>
  </si>
  <si>
    <t>生活者の一次視点</t>
  </si>
  <si>
    <t>A6/A14</t>
  </si>
  <si>
    <t>（治安FAQ・GEO）</t>
  </si>
  <si>
    <t>C54</t>
  </si>
  <si>
    <t>初めての福岡 — エリア全体像の読み方</t>
  </si>
  <si>
    <t>【カニバリ判定必須】天神博多比較と→「地図の読み方」に限定</t>
  </si>
  <si>
    <t>天神博多比較</t>
  </si>
  <si>
    <t>where to stay in fukuoka first time(50)／후쿠오카 숙소 위치 추천(500)</t>
  </si>
  <si>
    <t>C55</t>
  </si>
  <si>
    <t>子どもの食事事情 — アレルギー・子ども椅子・離乳食</t>
  </si>
  <si>
    <t>実訪確認・確認日</t>
  </si>
  <si>
    <t>（B21/B35接続・FAQ集約）</t>
  </si>
  <si>
    <t>C56</t>
  </si>
  <si>
    <t>宿のレビューの読み方 — 失敗しない選び方</t>
  </si>
  <si>
    <t>自社レビューを実例に（一次データ）</t>
  </si>
  <si>
    <t>福岡民宿 評價／숙소 후기／รีวิวที่พักฟุกุโอกะ(50)</t>
  </si>
  <si>
    <t>C57</t>
  </si>
  <si>
    <t>pantip・dcard・redditで聞かれる福岡の宿の疑問に答える</t>
  </si>
  <si>
    <t>コミュニティ実クエリの回収（正本§多言語発見）</t>
  </si>
  <si>
    <t>FAQ全般</t>
  </si>
  <si>
    <t>ที่พัก pantip(50)／福岡民宿推薦 dcard／where to stay reddit(50)</t>
  </si>
  <si>
    <t>C58</t>
  </si>
  <si>
    <t>福岡の季節カレンダー — いつ行くのがいい？</t>
  </si>
  <si>
    <t>気温・混雑・イベントの実測1年分</t>
  </si>
  <si>
    <t>季節4記事</t>
  </si>
  <si>
    <t>（季節記事群のハブ）</t>
  </si>
  <si>
    <t>C59</t>
  </si>
  <si>
    <t>グループ旅行の割り勘術 — 1人あたり総額で考える</t>
  </si>
  <si>
    <t>計算の枠組みのみ・価格断定なし</t>
  </si>
  <si>
    <t>#23・予約導線</t>
  </si>
  <si>
    <t>福岡 一棟貸し 7人 安い／(価格軸クラスタ)</t>
  </si>
  <si>
    <t>C60</t>
  </si>
  <si>
    <t>「写真がきれいな宿」の正直な話 — 感性宿と実物</t>
  </si>
  <si>
    <t>ストック画像不使用の思想をコンテンツ化</t>
  </si>
  <si>
    <t>ถ่ายรูปสวย／감성 숙소</t>
  </si>
  <si>
    <t>福岡ガイド60記事 サマリー（数式は60記事リストを集計・行追加時はレンジ拡張）</t>
  </si>
  <si>
    <t>層別本数</t>
  </si>
  <si>
    <t>層A 徒歩圏一次情報</t>
  </si>
  <si>
    <t>層B 市内×用途</t>
  </si>
  <si>
    <t>層C General正直版</t>
  </si>
  <si>
    <t>合計</t>
  </si>
  <si>
    <t>優先度別</t>
  </si>
  <si>
    <t>月別 目標本数</t>
  </si>
  <si>
    <t>目標</t>
  </si>
  <si>
    <t>公開済</t>
  </si>
  <si>
    <t>進捗（ステータス列を更新すると自動集計）</t>
  </si>
  <si>
    <t>取材済</t>
  </si>
  <si>
    <t>draft投入</t>
  </si>
  <si>
    <t>QA中</t>
  </si>
  <si>
    <t>凡例</t>
  </si>
  <si>
    <t>黄色行=P1（実査500級）／ステータス列（J列）だけ手で更新: 未着手→取材済→draft投入→QA中→公開済</t>
  </si>
  <si>
    <t>正本MD: docs/roadmap_yah_homes_福岡ガイド60記事.md（分離設計・運用ルールはMD参照）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</si>
</sst>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rgb="FFC00000"/>
      <name val="Arial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1" fillId="5" fontId="4" numFmtId="0" xfId="0" applyAlignment="1" applyBorder="1" applyFont="1">
      <alignment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0" fillId="0" fontId="5" numFmtId="0" xfId="0" applyFont="1"/>
    <xf borderId="2" fillId="7" fontId="5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1.43"/>
    <col customWidth="1" min="3" max="3" width="19.71"/>
    <col customWidth="1" min="4" max="4" width="76.57"/>
    <col customWidth="1" min="5" max="5" width="15.0"/>
    <col customWidth="1" min="6" max="6" width="65.86"/>
    <col customWidth="1" min="7" max="7" width="28.71"/>
    <col customWidth="1" min="8" max="8" width="10.0"/>
    <col customWidth="1" min="9" max="9" width="88.86"/>
    <col customWidth="1" min="10" max="10" width="20.43"/>
    <col customWidth="1" min="11" max="11" width="19.0"/>
    <col customWidth="1" min="12" max="12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ht="25.5" customHeight="1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4"/>
      <c r="L2" s="4"/>
    </row>
    <row r="3" ht="25.5" customHeight="1">
      <c r="A3" s="2" t="s">
        <v>11</v>
      </c>
      <c r="B3" s="2" t="s">
        <v>21</v>
      </c>
      <c r="C3" s="3" t="s">
        <v>13</v>
      </c>
      <c r="D3" s="2" t="s">
        <v>22</v>
      </c>
      <c r="E3" s="2" t="s">
        <v>15</v>
      </c>
      <c r="F3" s="2" t="s">
        <v>23</v>
      </c>
      <c r="G3" s="2" t="s">
        <v>24</v>
      </c>
      <c r="H3" s="2" t="s">
        <v>18</v>
      </c>
      <c r="I3" s="2" t="s">
        <v>25</v>
      </c>
      <c r="J3" s="2" t="s">
        <v>20</v>
      </c>
      <c r="K3" s="4"/>
      <c r="L3" s="4"/>
    </row>
    <row r="4" ht="25.5" customHeight="1">
      <c r="A4" s="2" t="s">
        <v>11</v>
      </c>
      <c r="B4" s="2" t="s">
        <v>26</v>
      </c>
      <c r="C4" s="3" t="s">
        <v>13</v>
      </c>
      <c r="D4" s="2" t="s">
        <v>27</v>
      </c>
      <c r="E4" s="2" t="s">
        <v>15</v>
      </c>
      <c r="F4" s="2" t="s">
        <v>28</v>
      </c>
      <c r="G4" s="2" t="s">
        <v>29</v>
      </c>
      <c r="H4" s="2" t="s">
        <v>18</v>
      </c>
      <c r="I4" s="2" t="s">
        <v>30</v>
      </c>
      <c r="J4" s="2" t="s">
        <v>20</v>
      </c>
      <c r="K4" s="4"/>
      <c r="L4" s="4"/>
    </row>
    <row r="5" ht="25.5" customHeight="1">
      <c r="A5" s="2" t="s">
        <v>11</v>
      </c>
      <c r="B5" s="2" t="s">
        <v>31</v>
      </c>
      <c r="C5" s="3" t="s">
        <v>13</v>
      </c>
      <c r="D5" s="5" t="s">
        <v>32</v>
      </c>
      <c r="E5" s="2" t="s">
        <v>15</v>
      </c>
      <c r="F5" s="2" t="s">
        <v>33</v>
      </c>
      <c r="G5" s="2" t="s">
        <v>34</v>
      </c>
      <c r="H5" s="2" t="s">
        <v>18</v>
      </c>
      <c r="I5" s="2" t="s">
        <v>35</v>
      </c>
      <c r="J5" s="2" t="s">
        <v>20</v>
      </c>
      <c r="K5" s="4"/>
      <c r="L5" s="4"/>
    </row>
    <row r="6" ht="25.5" customHeight="1">
      <c r="A6" s="2" t="s">
        <v>11</v>
      </c>
      <c r="B6" s="2" t="s">
        <v>36</v>
      </c>
      <c r="C6" s="3" t="s">
        <v>13</v>
      </c>
      <c r="D6" s="2" t="s">
        <v>37</v>
      </c>
      <c r="E6" s="2" t="s">
        <v>15</v>
      </c>
      <c r="F6" s="2" t="s">
        <v>38</v>
      </c>
      <c r="G6" s="2" t="s">
        <v>34</v>
      </c>
      <c r="H6" s="2" t="s">
        <v>18</v>
      </c>
      <c r="I6" s="2" t="s">
        <v>39</v>
      </c>
      <c r="J6" s="2" t="s">
        <v>20</v>
      </c>
      <c r="K6" s="4"/>
      <c r="L6" s="4"/>
    </row>
    <row r="7" ht="25.5" customHeight="1">
      <c r="A7" s="2" t="s">
        <v>11</v>
      </c>
      <c r="B7" s="2" t="s">
        <v>40</v>
      </c>
      <c r="C7" s="3" t="s">
        <v>13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18</v>
      </c>
      <c r="I7" s="2" t="s">
        <v>45</v>
      </c>
      <c r="J7" s="2" t="s">
        <v>46</v>
      </c>
      <c r="K7" s="4"/>
      <c r="L7" s="4"/>
    </row>
    <row r="8" ht="25.5" customHeight="1">
      <c r="A8" s="2" t="s">
        <v>11</v>
      </c>
      <c r="B8" s="2" t="s">
        <v>47</v>
      </c>
      <c r="C8" s="3" t="s">
        <v>13</v>
      </c>
      <c r="D8" s="2" t="s">
        <v>48</v>
      </c>
      <c r="E8" s="2" t="s">
        <v>15</v>
      </c>
      <c r="F8" s="2" t="s">
        <v>49</v>
      </c>
      <c r="G8" s="2" t="s">
        <v>50</v>
      </c>
      <c r="H8" s="2" t="s">
        <v>18</v>
      </c>
      <c r="I8" s="2" t="s">
        <v>51</v>
      </c>
      <c r="J8" s="2" t="s">
        <v>20</v>
      </c>
      <c r="K8" s="4"/>
      <c r="L8" s="4"/>
    </row>
    <row r="9" ht="25.5" customHeight="1">
      <c r="A9" s="2" t="s">
        <v>11</v>
      </c>
      <c r="B9" s="2" t="s">
        <v>52</v>
      </c>
      <c r="C9" s="3" t="s">
        <v>13</v>
      </c>
      <c r="D9" s="2" t="s">
        <v>53</v>
      </c>
      <c r="E9" s="2" t="s">
        <v>15</v>
      </c>
      <c r="F9" s="2" t="s">
        <v>54</v>
      </c>
      <c r="G9" s="2" t="s">
        <v>55</v>
      </c>
      <c r="H9" s="2" t="s">
        <v>18</v>
      </c>
      <c r="I9" s="2" t="s">
        <v>56</v>
      </c>
      <c r="J9" s="2" t="s">
        <v>20</v>
      </c>
      <c r="K9" s="4"/>
      <c r="L9" s="4"/>
    </row>
    <row r="10" ht="25.5" customHeight="1">
      <c r="A10" s="2" t="s">
        <v>11</v>
      </c>
      <c r="B10" s="2" t="s">
        <v>57</v>
      </c>
      <c r="C10" s="3" t="s">
        <v>13</v>
      </c>
      <c r="D10" s="2" t="s">
        <v>58</v>
      </c>
      <c r="E10" s="2" t="s">
        <v>15</v>
      </c>
      <c r="F10" s="2" t="s">
        <v>59</v>
      </c>
      <c r="G10" s="2" t="s">
        <v>60</v>
      </c>
      <c r="H10" s="2" t="s">
        <v>18</v>
      </c>
      <c r="I10" s="2" t="s">
        <v>61</v>
      </c>
      <c r="J10" s="2" t="s">
        <v>20</v>
      </c>
      <c r="K10" s="4"/>
      <c r="L10" s="4"/>
    </row>
    <row r="11" ht="25.5" customHeight="1">
      <c r="A11" s="2" t="s">
        <v>11</v>
      </c>
      <c r="B11" s="2" t="s">
        <v>62</v>
      </c>
      <c r="C11" s="3" t="s">
        <v>13</v>
      </c>
      <c r="D11" s="2" t="s">
        <v>63</v>
      </c>
      <c r="E11" s="2" t="s">
        <v>15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20</v>
      </c>
      <c r="K11" s="4"/>
      <c r="L11" s="4"/>
    </row>
    <row r="12" ht="25.5" customHeight="1">
      <c r="A12" s="2" t="s">
        <v>11</v>
      </c>
      <c r="B12" s="2" t="s">
        <v>68</v>
      </c>
      <c r="C12" s="3" t="s">
        <v>13</v>
      </c>
      <c r="D12" s="2" t="s">
        <v>69</v>
      </c>
      <c r="E12" s="2" t="s">
        <v>15</v>
      </c>
      <c r="F12" s="2" t="s">
        <v>70</v>
      </c>
      <c r="G12" s="2" t="s">
        <v>71</v>
      </c>
      <c r="H12" s="2" t="s">
        <v>66</v>
      </c>
      <c r="I12" s="2" t="s">
        <v>72</v>
      </c>
      <c r="J12" s="2" t="s">
        <v>20</v>
      </c>
      <c r="K12" s="4"/>
      <c r="L12" s="4"/>
    </row>
    <row r="13" ht="25.5" customHeight="1">
      <c r="A13" s="2" t="s">
        <v>11</v>
      </c>
      <c r="B13" s="2" t="s">
        <v>73</v>
      </c>
      <c r="C13" s="3" t="s">
        <v>13</v>
      </c>
      <c r="D13" s="2" t="s">
        <v>74</v>
      </c>
      <c r="E13" s="2" t="s">
        <v>15</v>
      </c>
      <c r="F13" s="2" t="s">
        <v>75</v>
      </c>
      <c r="G13" s="2" t="s">
        <v>76</v>
      </c>
      <c r="H13" s="2" t="s">
        <v>66</v>
      </c>
      <c r="I13" s="2" t="s">
        <v>77</v>
      </c>
      <c r="J13" s="2" t="s">
        <v>20</v>
      </c>
      <c r="K13" s="4"/>
      <c r="L13" s="4"/>
    </row>
    <row r="14" ht="25.5" customHeight="1">
      <c r="A14" s="2" t="s">
        <v>11</v>
      </c>
      <c r="B14" s="2" t="s">
        <v>78</v>
      </c>
      <c r="C14" s="3" t="s">
        <v>13</v>
      </c>
      <c r="D14" s="2" t="s">
        <v>79</v>
      </c>
      <c r="E14" s="2" t="s">
        <v>15</v>
      </c>
      <c r="F14" s="2" t="s">
        <v>80</v>
      </c>
      <c r="G14" s="2" t="s">
        <v>55</v>
      </c>
      <c r="H14" s="2" t="s">
        <v>66</v>
      </c>
      <c r="I14" s="2" t="s">
        <v>81</v>
      </c>
      <c r="J14" s="2" t="s">
        <v>20</v>
      </c>
      <c r="K14" s="4"/>
      <c r="L14" s="4"/>
    </row>
    <row r="15" ht="25.5" customHeight="1">
      <c r="A15" s="2" t="s">
        <v>11</v>
      </c>
      <c r="B15" s="2" t="s">
        <v>82</v>
      </c>
      <c r="C15" s="3" t="s">
        <v>13</v>
      </c>
      <c r="D15" s="2" t="s">
        <v>83</v>
      </c>
      <c r="E15" s="2" t="s">
        <v>15</v>
      </c>
      <c r="F15" s="2" t="s">
        <v>84</v>
      </c>
      <c r="G15" s="2" t="s">
        <v>55</v>
      </c>
      <c r="H15" s="2" t="s">
        <v>66</v>
      </c>
      <c r="I15" s="2" t="s">
        <v>85</v>
      </c>
      <c r="J15" s="2" t="s">
        <v>20</v>
      </c>
      <c r="K15" s="4"/>
      <c r="L15" s="4"/>
    </row>
    <row r="16" ht="25.5" customHeight="1">
      <c r="A16" s="2" t="s">
        <v>11</v>
      </c>
      <c r="B16" s="2" t="s">
        <v>86</v>
      </c>
      <c r="C16" s="3" t="s">
        <v>13</v>
      </c>
      <c r="D16" s="2" t="s">
        <v>87</v>
      </c>
      <c r="E16" s="2" t="s">
        <v>42</v>
      </c>
      <c r="F16" s="2" t="s">
        <v>88</v>
      </c>
      <c r="G16" s="2" t="s">
        <v>89</v>
      </c>
      <c r="H16" s="2" t="s">
        <v>66</v>
      </c>
      <c r="I16" s="2" t="s">
        <v>90</v>
      </c>
      <c r="J16" s="2" t="s">
        <v>91</v>
      </c>
      <c r="K16" s="4"/>
      <c r="L16" s="4"/>
    </row>
    <row r="17" ht="25.5" customHeight="1">
      <c r="A17" s="2" t="s">
        <v>11</v>
      </c>
      <c r="B17" s="2" t="s">
        <v>92</v>
      </c>
      <c r="C17" s="3" t="s">
        <v>13</v>
      </c>
      <c r="D17" s="2" t="s">
        <v>93</v>
      </c>
      <c r="E17" s="2" t="s">
        <v>15</v>
      </c>
      <c r="F17" s="2" t="s">
        <v>94</v>
      </c>
      <c r="G17" s="2" t="s">
        <v>95</v>
      </c>
      <c r="H17" s="2" t="s">
        <v>66</v>
      </c>
      <c r="I17" s="2" t="s">
        <v>96</v>
      </c>
      <c r="J17" s="2" t="s">
        <v>46</v>
      </c>
      <c r="K17" s="4"/>
      <c r="L17" s="4"/>
    </row>
    <row r="18" ht="25.5" customHeight="1">
      <c r="A18" s="2" t="s">
        <v>11</v>
      </c>
      <c r="B18" s="2" t="s">
        <v>97</v>
      </c>
      <c r="C18" s="3" t="s">
        <v>13</v>
      </c>
      <c r="D18" s="2" t="s">
        <v>98</v>
      </c>
      <c r="E18" s="2" t="s">
        <v>15</v>
      </c>
      <c r="F18" s="2" t="s">
        <v>99</v>
      </c>
      <c r="G18" s="2" t="s">
        <v>100</v>
      </c>
      <c r="H18" s="2" t="s">
        <v>66</v>
      </c>
      <c r="I18" s="2" t="s">
        <v>101</v>
      </c>
      <c r="J18" s="2" t="s">
        <v>20</v>
      </c>
      <c r="K18" s="4"/>
      <c r="L18" s="4"/>
    </row>
    <row r="19" ht="25.5" customHeight="1">
      <c r="A19" s="2" t="s">
        <v>11</v>
      </c>
      <c r="B19" s="2" t="s">
        <v>102</v>
      </c>
      <c r="C19" s="3" t="s">
        <v>13</v>
      </c>
      <c r="D19" s="2" t="s">
        <v>103</v>
      </c>
      <c r="E19" s="2" t="s">
        <v>15</v>
      </c>
      <c r="F19" s="2" t="s">
        <v>104</v>
      </c>
      <c r="G19" s="2" t="s">
        <v>105</v>
      </c>
      <c r="H19" s="2" t="s">
        <v>66</v>
      </c>
      <c r="I19" s="2" t="s">
        <v>106</v>
      </c>
      <c r="J19" s="2" t="s">
        <v>20</v>
      </c>
      <c r="K19" s="4"/>
      <c r="L19" s="4"/>
    </row>
    <row r="20" ht="25.5" customHeight="1">
      <c r="A20" s="2" t="s">
        <v>11</v>
      </c>
      <c r="B20" s="2" t="s">
        <v>107</v>
      </c>
      <c r="C20" s="3" t="s">
        <v>13</v>
      </c>
      <c r="D20" s="2" t="s">
        <v>108</v>
      </c>
      <c r="E20" s="2" t="s">
        <v>15</v>
      </c>
      <c r="F20" s="2" t="s">
        <v>109</v>
      </c>
      <c r="G20" s="2" t="s">
        <v>55</v>
      </c>
      <c r="H20" s="2" t="s">
        <v>66</v>
      </c>
      <c r="I20" s="2" t="s">
        <v>110</v>
      </c>
      <c r="J20" s="2" t="s">
        <v>20</v>
      </c>
      <c r="K20" s="4"/>
      <c r="L20" s="4"/>
    </row>
    <row r="21" ht="25.5" customHeight="1">
      <c r="A21" s="2" t="s">
        <v>11</v>
      </c>
      <c r="B21" s="2" t="s">
        <v>111</v>
      </c>
      <c r="C21" s="3" t="s">
        <v>13</v>
      </c>
      <c r="D21" s="2" t="s">
        <v>112</v>
      </c>
      <c r="E21" s="2" t="s">
        <v>15</v>
      </c>
      <c r="F21" s="2" t="s">
        <v>113</v>
      </c>
      <c r="G21" s="2" t="s">
        <v>114</v>
      </c>
      <c r="H21" s="2" t="s">
        <v>66</v>
      </c>
      <c r="I21" s="2" t="s">
        <v>115</v>
      </c>
      <c r="J21" s="2" t="s">
        <v>20</v>
      </c>
      <c r="K21" s="4"/>
      <c r="L21" s="4"/>
    </row>
    <row r="22" ht="25.5" customHeight="1">
      <c r="A22" s="2" t="s">
        <v>11</v>
      </c>
      <c r="B22" s="2" t="s">
        <v>116</v>
      </c>
      <c r="C22" s="6" t="s">
        <v>117</v>
      </c>
      <c r="D22" s="2" t="s">
        <v>118</v>
      </c>
      <c r="E22" s="2" t="s">
        <v>42</v>
      </c>
      <c r="F22" s="2" t="s">
        <v>119</v>
      </c>
      <c r="G22" s="2" t="s">
        <v>17</v>
      </c>
      <c r="H22" s="2" t="s">
        <v>66</v>
      </c>
      <c r="I22" s="2" t="s">
        <v>120</v>
      </c>
      <c r="J22" s="2" t="s">
        <v>46</v>
      </c>
      <c r="K22" s="4"/>
      <c r="L22" s="4"/>
    </row>
    <row r="23" ht="25.5" customHeight="1">
      <c r="A23" s="2" t="s">
        <v>11</v>
      </c>
      <c r="B23" s="2" t="s">
        <v>121</v>
      </c>
      <c r="C23" s="6" t="s">
        <v>117</v>
      </c>
      <c r="D23" s="2" t="s">
        <v>122</v>
      </c>
      <c r="E23" s="2" t="s">
        <v>15</v>
      </c>
      <c r="F23" s="2" t="s">
        <v>123</v>
      </c>
      <c r="G23" s="2" t="s">
        <v>17</v>
      </c>
      <c r="H23" s="2" t="s">
        <v>66</v>
      </c>
      <c r="I23" s="2" t="s">
        <v>124</v>
      </c>
      <c r="J23" s="2" t="s">
        <v>20</v>
      </c>
      <c r="K23" s="4"/>
      <c r="L23" s="4"/>
    </row>
    <row r="24" ht="25.5" customHeight="1">
      <c r="A24" s="2" t="s">
        <v>11</v>
      </c>
      <c r="B24" s="2" t="s">
        <v>125</v>
      </c>
      <c r="C24" s="6" t="s">
        <v>117</v>
      </c>
      <c r="D24" s="2" t="s">
        <v>126</v>
      </c>
      <c r="E24" s="2" t="s">
        <v>15</v>
      </c>
      <c r="F24" s="2" t="s">
        <v>127</v>
      </c>
      <c r="G24" s="2" t="s">
        <v>34</v>
      </c>
      <c r="H24" s="2" t="s">
        <v>66</v>
      </c>
      <c r="I24" s="2" t="s">
        <v>128</v>
      </c>
      <c r="J24" s="2" t="s">
        <v>20</v>
      </c>
      <c r="K24" s="4"/>
      <c r="L24" s="4"/>
    </row>
    <row r="25" ht="25.5" customHeight="1">
      <c r="A25" s="2" t="s">
        <v>11</v>
      </c>
      <c r="B25" s="2" t="s">
        <v>129</v>
      </c>
      <c r="C25" s="6" t="s">
        <v>117</v>
      </c>
      <c r="D25" s="2" t="s">
        <v>130</v>
      </c>
      <c r="E25" s="2" t="s">
        <v>15</v>
      </c>
      <c r="F25" s="2" t="s">
        <v>131</v>
      </c>
      <c r="G25" s="2" t="s">
        <v>34</v>
      </c>
      <c r="H25" s="2" t="s">
        <v>66</v>
      </c>
      <c r="I25" s="2" t="s">
        <v>132</v>
      </c>
      <c r="J25" s="2" t="s">
        <v>20</v>
      </c>
      <c r="K25" s="4"/>
      <c r="L25" s="4"/>
    </row>
    <row r="26" ht="25.5" customHeight="1">
      <c r="A26" s="2" t="s">
        <v>11</v>
      </c>
      <c r="B26" s="2" t="s">
        <v>133</v>
      </c>
      <c r="C26" s="6" t="s">
        <v>117</v>
      </c>
      <c r="D26" s="2" t="s">
        <v>134</v>
      </c>
      <c r="E26" s="2" t="s">
        <v>15</v>
      </c>
      <c r="F26" s="2" t="s">
        <v>135</v>
      </c>
      <c r="G26" s="2" t="s">
        <v>136</v>
      </c>
      <c r="H26" s="2" t="s">
        <v>137</v>
      </c>
      <c r="I26" s="2" t="s">
        <v>138</v>
      </c>
      <c r="J26" s="2" t="s">
        <v>20</v>
      </c>
      <c r="K26" s="4"/>
      <c r="L26" s="4"/>
    </row>
    <row r="27" ht="25.5" customHeight="1">
      <c r="A27" s="2" t="s">
        <v>11</v>
      </c>
      <c r="B27" s="2" t="s">
        <v>139</v>
      </c>
      <c r="C27" s="6" t="s">
        <v>117</v>
      </c>
      <c r="D27" s="2" t="s">
        <v>140</v>
      </c>
      <c r="E27" s="2" t="s">
        <v>15</v>
      </c>
      <c r="F27" s="2" t="s">
        <v>141</v>
      </c>
      <c r="G27" s="2" t="s">
        <v>136</v>
      </c>
      <c r="H27" s="2" t="s">
        <v>137</v>
      </c>
      <c r="I27" s="2" t="s">
        <v>142</v>
      </c>
      <c r="J27" s="2" t="s">
        <v>20</v>
      </c>
      <c r="K27" s="4"/>
      <c r="L27" s="4"/>
    </row>
    <row r="28" ht="25.5" customHeight="1">
      <c r="A28" s="7" t="s">
        <v>11</v>
      </c>
      <c r="B28" s="7" t="s">
        <v>143</v>
      </c>
      <c r="C28" s="6" t="s">
        <v>117</v>
      </c>
      <c r="D28" s="7" t="s">
        <v>144</v>
      </c>
      <c r="E28" s="8" t="s">
        <v>145</v>
      </c>
      <c r="F28" s="7" t="s">
        <v>146</v>
      </c>
      <c r="G28" s="7" t="s">
        <v>29</v>
      </c>
      <c r="H28" s="7" t="s">
        <v>137</v>
      </c>
      <c r="I28" s="7" t="s">
        <v>147</v>
      </c>
      <c r="J28" s="7" t="s">
        <v>91</v>
      </c>
      <c r="K28" s="4"/>
      <c r="L28" s="4"/>
    </row>
    <row r="29" ht="25.5" customHeight="1">
      <c r="A29" s="2" t="s">
        <v>11</v>
      </c>
      <c r="B29" s="2" t="s">
        <v>148</v>
      </c>
      <c r="C29" s="6" t="s">
        <v>117</v>
      </c>
      <c r="D29" s="2" t="s">
        <v>149</v>
      </c>
      <c r="E29" s="2" t="s">
        <v>42</v>
      </c>
      <c r="F29" s="2" t="s">
        <v>150</v>
      </c>
      <c r="G29" s="2" t="s">
        <v>151</v>
      </c>
      <c r="H29" s="2" t="s">
        <v>137</v>
      </c>
      <c r="I29" s="2" t="s">
        <v>152</v>
      </c>
      <c r="J29" s="2" t="s">
        <v>46</v>
      </c>
      <c r="K29" s="4"/>
      <c r="L29" s="4"/>
    </row>
    <row r="30" ht="25.5" customHeight="1">
      <c r="A30" s="2" t="s">
        <v>11</v>
      </c>
      <c r="B30" s="2" t="s">
        <v>153</v>
      </c>
      <c r="C30" s="6" t="s">
        <v>117</v>
      </c>
      <c r="D30" s="2" t="s">
        <v>154</v>
      </c>
      <c r="E30" s="2" t="s">
        <v>15</v>
      </c>
      <c r="F30" s="2" t="s">
        <v>155</v>
      </c>
      <c r="G30" s="2" t="s">
        <v>17</v>
      </c>
      <c r="H30" s="2" t="s">
        <v>137</v>
      </c>
      <c r="I30" s="2" t="s">
        <v>156</v>
      </c>
      <c r="J30" s="2" t="s">
        <v>20</v>
      </c>
      <c r="K30" s="4"/>
      <c r="L30" s="4"/>
    </row>
    <row r="31" ht="25.5" customHeight="1">
      <c r="A31" s="2" t="s">
        <v>11</v>
      </c>
      <c r="B31" s="2" t="s">
        <v>157</v>
      </c>
      <c r="C31" s="6" t="s">
        <v>117</v>
      </c>
      <c r="D31" s="2" t="s">
        <v>158</v>
      </c>
      <c r="E31" s="2" t="s">
        <v>15</v>
      </c>
      <c r="F31" s="2" t="s">
        <v>159</v>
      </c>
      <c r="G31" s="2" t="s">
        <v>17</v>
      </c>
      <c r="H31" s="2" t="s">
        <v>137</v>
      </c>
      <c r="I31" s="2" t="s">
        <v>160</v>
      </c>
      <c r="J31" s="2" t="s">
        <v>20</v>
      </c>
      <c r="K31" s="4"/>
      <c r="L31" s="4"/>
    </row>
    <row r="32" ht="25.5" customHeight="1">
      <c r="A32" s="7" t="s">
        <v>11</v>
      </c>
      <c r="B32" s="7" t="s">
        <v>161</v>
      </c>
      <c r="C32" s="6" t="s">
        <v>117</v>
      </c>
      <c r="D32" s="7" t="s">
        <v>162</v>
      </c>
      <c r="E32" s="8" t="s">
        <v>145</v>
      </c>
      <c r="F32" s="7" t="s">
        <v>163</v>
      </c>
      <c r="G32" s="7" t="s">
        <v>164</v>
      </c>
      <c r="H32" s="7" t="s">
        <v>165</v>
      </c>
      <c r="I32" s="7" t="s">
        <v>166</v>
      </c>
      <c r="J32" s="7" t="s">
        <v>91</v>
      </c>
      <c r="K32" s="4"/>
      <c r="L32" s="4"/>
    </row>
    <row r="33" ht="25.5" customHeight="1">
      <c r="A33" s="7" t="s">
        <v>11</v>
      </c>
      <c r="B33" s="7" t="s">
        <v>167</v>
      </c>
      <c r="C33" s="6" t="s">
        <v>117</v>
      </c>
      <c r="D33" s="7" t="s">
        <v>168</v>
      </c>
      <c r="E33" s="8" t="s">
        <v>145</v>
      </c>
      <c r="F33" s="7" t="s">
        <v>169</v>
      </c>
      <c r="G33" s="7" t="s">
        <v>55</v>
      </c>
      <c r="H33" s="7" t="s">
        <v>165</v>
      </c>
      <c r="I33" s="7" t="s">
        <v>170</v>
      </c>
      <c r="J33" s="7" t="s">
        <v>91</v>
      </c>
      <c r="K33" s="4"/>
      <c r="L33" s="4"/>
    </row>
    <row r="34" ht="25.5" customHeight="1">
      <c r="A34" s="7" t="s">
        <v>11</v>
      </c>
      <c r="B34" s="7" t="s">
        <v>171</v>
      </c>
      <c r="C34" s="6" t="s">
        <v>117</v>
      </c>
      <c r="D34" s="7" t="s">
        <v>172</v>
      </c>
      <c r="E34" s="8" t="s">
        <v>145</v>
      </c>
      <c r="F34" s="7" t="s">
        <v>173</v>
      </c>
      <c r="G34" s="7" t="s">
        <v>174</v>
      </c>
      <c r="H34" s="7" t="s">
        <v>165</v>
      </c>
      <c r="I34" s="7" t="s">
        <v>175</v>
      </c>
      <c r="J34" s="7" t="s">
        <v>91</v>
      </c>
      <c r="K34" s="4"/>
      <c r="L34" s="4"/>
    </row>
    <row r="35" ht="25.5" customHeight="1">
      <c r="A35" s="2" t="s">
        <v>11</v>
      </c>
      <c r="B35" s="2" t="s">
        <v>176</v>
      </c>
      <c r="C35" s="6" t="s">
        <v>117</v>
      </c>
      <c r="D35" s="2" t="s">
        <v>177</v>
      </c>
      <c r="E35" s="2" t="s">
        <v>42</v>
      </c>
      <c r="F35" s="2" t="s">
        <v>178</v>
      </c>
      <c r="G35" s="2" t="s">
        <v>17</v>
      </c>
      <c r="H35" s="2" t="s">
        <v>165</v>
      </c>
      <c r="I35" s="2" t="s">
        <v>179</v>
      </c>
      <c r="J35" s="2" t="s">
        <v>46</v>
      </c>
      <c r="K35" s="4"/>
      <c r="L35" s="4"/>
    </row>
    <row r="36" ht="25.5" customHeight="1">
      <c r="A36" s="2" t="s">
        <v>11</v>
      </c>
      <c r="B36" s="2" t="s">
        <v>180</v>
      </c>
      <c r="C36" s="6" t="s">
        <v>117</v>
      </c>
      <c r="D36" s="2" t="s">
        <v>181</v>
      </c>
      <c r="E36" s="2" t="s">
        <v>15</v>
      </c>
      <c r="F36" s="2" t="s">
        <v>182</v>
      </c>
      <c r="G36" s="2" t="s">
        <v>183</v>
      </c>
      <c r="H36" s="2" t="s">
        <v>165</v>
      </c>
      <c r="I36" s="2" t="s">
        <v>184</v>
      </c>
      <c r="J36" s="2" t="s">
        <v>20</v>
      </c>
      <c r="K36" s="4"/>
      <c r="L36" s="4"/>
    </row>
    <row r="37" ht="25.5" customHeight="1">
      <c r="A37" s="2" t="s">
        <v>11</v>
      </c>
      <c r="B37" s="2" t="s">
        <v>185</v>
      </c>
      <c r="C37" s="6" t="s">
        <v>117</v>
      </c>
      <c r="D37" s="2" t="s">
        <v>186</v>
      </c>
      <c r="E37" s="2" t="s">
        <v>42</v>
      </c>
      <c r="F37" s="2" t="s">
        <v>187</v>
      </c>
      <c r="G37" s="2" t="s">
        <v>188</v>
      </c>
      <c r="H37" s="2" t="s">
        <v>165</v>
      </c>
      <c r="I37" s="2" t="s">
        <v>189</v>
      </c>
      <c r="J37" s="2" t="s">
        <v>46</v>
      </c>
      <c r="K37" s="4"/>
      <c r="L37" s="4"/>
    </row>
    <row r="38" ht="25.5" customHeight="1">
      <c r="A38" s="2" t="s">
        <v>11</v>
      </c>
      <c r="B38" s="2" t="s">
        <v>190</v>
      </c>
      <c r="C38" s="6" t="s">
        <v>117</v>
      </c>
      <c r="D38" s="2" t="s">
        <v>191</v>
      </c>
      <c r="E38" s="2" t="s">
        <v>15</v>
      </c>
      <c r="F38" s="2" t="s">
        <v>192</v>
      </c>
      <c r="G38" s="2" t="s">
        <v>193</v>
      </c>
      <c r="H38" s="2" t="s">
        <v>165</v>
      </c>
      <c r="I38" s="2" t="s">
        <v>194</v>
      </c>
      <c r="J38" s="2" t="s">
        <v>20</v>
      </c>
      <c r="K38" s="4"/>
      <c r="L38" s="4"/>
    </row>
    <row r="39" ht="25.5" customHeight="1">
      <c r="A39" s="2" t="s">
        <v>11</v>
      </c>
      <c r="B39" s="2" t="s">
        <v>195</v>
      </c>
      <c r="C39" s="6" t="s">
        <v>117</v>
      </c>
      <c r="D39" s="2" t="s">
        <v>196</v>
      </c>
      <c r="E39" s="2" t="s">
        <v>15</v>
      </c>
      <c r="F39" s="2" t="s">
        <v>197</v>
      </c>
      <c r="G39" s="2" t="s">
        <v>198</v>
      </c>
      <c r="H39" s="2" t="s">
        <v>165</v>
      </c>
      <c r="I39" s="2" t="s">
        <v>199</v>
      </c>
      <c r="J39" s="2" t="s">
        <v>20</v>
      </c>
      <c r="K39" s="4"/>
      <c r="L39" s="4"/>
    </row>
    <row r="40" ht="25.5" customHeight="1">
      <c r="A40" s="2" t="s">
        <v>11</v>
      </c>
      <c r="B40" s="2" t="s">
        <v>200</v>
      </c>
      <c r="C40" s="6" t="s">
        <v>117</v>
      </c>
      <c r="D40" s="2" t="s">
        <v>201</v>
      </c>
      <c r="E40" s="2" t="s">
        <v>15</v>
      </c>
      <c r="F40" s="2" t="s">
        <v>202</v>
      </c>
      <c r="G40" s="2" t="s">
        <v>203</v>
      </c>
      <c r="H40" s="2" t="s">
        <v>204</v>
      </c>
      <c r="I40" s="2" t="s">
        <v>205</v>
      </c>
      <c r="J40" s="2" t="s">
        <v>20</v>
      </c>
      <c r="K40" s="4"/>
      <c r="L40" s="4"/>
    </row>
    <row r="41" ht="25.5" customHeight="1">
      <c r="A41" s="2" t="s">
        <v>11</v>
      </c>
      <c r="B41" s="2" t="s">
        <v>206</v>
      </c>
      <c r="C41" s="6" t="s">
        <v>117</v>
      </c>
      <c r="D41" s="2" t="s">
        <v>207</v>
      </c>
      <c r="E41" s="2" t="s">
        <v>15</v>
      </c>
      <c r="F41" s="2" t="s">
        <v>208</v>
      </c>
      <c r="G41" s="2" t="s">
        <v>200</v>
      </c>
      <c r="H41" s="2" t="s">
        <v>204</v>
      </c>
      <c r="I41" s="2" t="s">
        <v>209</v>
      </c>
      <c r="J41" s="2" t="s">
        <v>20</v>
      </c>
      <c r="K41" s="4"/>
      <c r="L41" s="4"/>
    </row>
    <row r="42" ht="25.5" customHeight="1">
      <c r="A42" s="2" t="s">
        <v>11</v>
      </c>
      <c r="B42" s="2" t="s">
        <v>210</v>
      </c>
      <c r="C42" s="6" t="s">
        <v>117</v>
      </c>
      <c r="D42" s="2" t="s">
        <v>211</v>
      </c>
      <c r="E42" s="2" t="s">
        <v>15</v>
      </c>
      <c r="F42" s="2" t="s">
        <v>212</v>
      </c>
      <c r="G42" s="2" t="s">
        <v>213</v>
      </c>
      <c r="H42" s="2" t="s">
        <v>204</v>
      </c>
      <c r="I42" s="2" t="s">
        <v>214</v>
      </c>
      <c r="J42" s="2" t="s">
        <v>20</v>
      </c>
      <c r="K42" s="4"/>
      <c r="L42" s="4"/>
    </row>
    <row r="43" ht="25.5" customHeight="1">
      <c r="A43" s="2" t="s">
        <v>11</v>
      </c>
      <c r="B43" s="2" t="s">
        <v>215</v>
      </c>
      <c r="C43" s="6" t="s">
        <v>117</v>
      </c>
      <c r="D43" s="2" t="s">
        <v>216</v>
      </c>
      <c r="E43" s="2" t="s">
        <v>15</v>
      </c>
      <c r="F43" s="2" t="s">
        <v>217</v>
      </c>
      <c r="G43" s="2" t="s">
        <v>55</v>
      </c>
      <c r="H43" s="2" t="s">
        <v>204</v>
      </c>
      <c r="I43" s="2" t="s">
        <v>218</v>
      </c>
      <c r="J43" s="2" t="s">
        <v>20</v>
      </c>
      <c r="K43" s="4"/>
      <c r="L43" s="4"/>
    </row>
    <row r="44" ht="25.5" customHeight="1">
      <c r="A44" s="2" t="s">
        <v>11</v>
      </c>
      <c r="B44" s="2" t="s">
        <v>219</v>
      </c>
      <c r="C44" s="6" t="s">
        <v>117</v>
      </c>
      <c r="D44" s="2" t="s">
        <v>220</v>
      </c>
      <c r="E44" s="2" t="s">
        <v>15</v>
      </c>
      <c r="F44" s="2" t="s">
        <v>221</v>
      </c>
      <c r="G44" s="2" t="s">
        <v>213</v>
      </c>
      <c r="H44" s="2" t="s">
        <v>204</v>
      </c>
      <c r="I44" s="2" t="s">
        <v>222</v>
      </c>
      <c r="J44" s="2" t="s">
        <v>20</v>
      </c>
      <c r="K44" s="4"/>
      <c r="L44" s="4"/>
    </row>
    <row r="45" ht="25.5" customHeight="1">
      <c r="A45" s="2" t="s">
        <v>11</v>
      </c>
      <c r="B45" s="2" t="s">
        <v>223</v>
      </c>
      <c r="C45" s="6" t="s">
        <v>117</v>
      </c>
      <c r="D45" s="2" t="s">
        <v>224</v>
      </c>
      <c r="E45" s="2" t="s">
        <v>15</v>
      </c>
      <c r="F45" s="2" t="s">
        <v>225</v>
      </c>
      <c r="G45" s="2" t="s">
        <v>226</v>
      </c>
      <c r="H45" s="2" t="s">
        <v>204</v>
      </c>
      <c r="I45" s="2" t="s">
        <v>227</v>
      </c>
      <c r="J45" s="2" t="s">
        <v>20</v>
      </c>
      <c r="K45" s="4"/>
      <c r="L45" s="4"/>
    </row>
    <row r="46" ht="25.5" customHeight="1">
      <c r="A46" s="2" t="s">
        <v>11</v>
      </c>
      <c r="B46" s="2" t="s">
        <v>228</v>
      </c>
      <c r="C46" s="6" t="s">
        <v>117</v>
      </c>
      <c r="D46" s="2" t="s">
        <v>229</v>
      </c>
      <c r="E46" s="2" t="s">
        <v>42</v>
      </c>
      <c r="F46" s="2" t="s">
        <v>230</v>
      </c>
      <c r="G46" s="2" t="s">
        <v>231</v>
      </c>
      <c r="H46" s="2" t="s">
        <v>204</v>
      </c>
      <c r="I46" s="2" t="s">
        <v>232</v>
      </c>
      <c r="J46" s="2" t="s">
        <v>46</v>
      </c>
      <c r="K46" s="4"/>
      <c r="L46" s="4"/>
    </row>
    <row r="47" ht="25.5" customHeight="1">
      <c r="A47" s="7" t="s">
        <v>11</v>
      </c>
      <c r="B47" s="7" t="s">
        <v>233</v>
      </c>
      <c r="C47" s="9" t="s">
        <v>234</v>
      </c>
      <c r="D47" s="7" t="s">
        <v>235</v>
      </c>
      <c r="E47" s="8" t="s">
        <v>145</v>
      </c>
      <c r="F47" s="7" t="s">
        <v>236</v>
      </c>
      <c r="G47" s="7" t="s">
        <v>237</v>
      </c>
      <c r="H47" s="7" t="s">
        <v>204</v>
      </c>
      <c r="I47" s="7" t="s">
        <v>238</v>
      </c>
      <c r="J47" s="7" t="s">
        <v>91</v>
      </c>
      <c r="K47" s="4"/>
      <c r="L47" s="4"/>
    </row>
    <row r="48" ht="25.5" customHeight="1">
      <c r="A48" s="2" t="s">
        <v>11</v>
      </c>
      <c r="B48" s="2" t="s">
        <v>239</v>
      </c>
      <c r="C48" s="9" t="s">
        <v>234</v>
      </c>
      <c r="D48" s="2" t="s">
        <v>240</v>
      </c>
      <c r="E48" s="2" t="s">
        <v>15</v>
      </c>
      <c r="F48" s="2" t="s">
        <v>241</v>
      </c>
      <c r="G48" s="2" t="s">
        <v>233</v>
      </c>
      <c r="H48" s="2" t="s">
        <v>204</v>
      </c>
      <c r="I48" s="2" t="s">
        <v>242</v>
      </c>
      <c r="J48" s="2" t="s">
        <v>20</v>
      </c>
      <c r="K48" s="4"/>
      <c r="L48" s="4"/>
    </row>
    <row r="49" ht="25.5" customHeight="1">
      <c r="A49" s="2" t="s">
        <v>11</v>
      </c>
      <c r="B49" s="2" t="s">
        <v>243</v>
      </c>
      <c r="C49" s="9" t="s">
        <v>234</v>
      </c>
      <c r="D49" s="2" t="s">
        <v>244</v>
      </c>
      <c r="E49" s="2" t="s">
        <v>15</v>
      </c>
      <c r="F49" s="2" t="s">
        <v>245</v>
      </c>
      <c r="G49" s="2" t="s">
        <v>246</v>
      </c>
      <c r="H49" s="2" t="s">
        <v>204</v>
      </c>
      <c r="I49" s="2" t="s">
        <v>247</v>
      </c>
      <c r="J49" s="2" t="s">
        <v>20</v>
      </c>
      <c r="K49" s="4"/>
      <c r="L49" s="4"/>
    </row>
    <row r="50" ht="25.5" customHeight="1">
      <c r="A50" s="2" t="s">
        <v>11</v>
      </c>
      <c r="B50" s="2" t="s">
        <v>248</v>
      </c>
      <c r="C50" s="9" t="s">
        <v>234</v>
      </c>
      <c r="D50" s="2" t="s">
        <v>249</v>
      </c>
      <c r="E50" s="2" t="s">
        <v>15</v>
      </c>
      <c r="F50" s="2" t="s">
        <v>250</v>
      </c>
      <c r="G50" s="2" t="s">
        <v>251</v>
      </c>
      <c r="H50" s="2" t="s">
        <v>204</v>
      </c>
      <c r="I50" s="2" t="s">
        <v>252</v>
      </c>
      <c r="J50" s="2" t="s">
        <v>20</v>
      </c>
      <c r="K50" s="4"/>
      <c r="L50" s="4"/>
    </row>
    <row r="51" ht="25.5" customHeight="1">
      <c r="A51" s="2" t="s">
        <v>11</v>
      </c>
      <c r="B51" s="2" t="s">
        <v>253</v>
      </c>
      <c r="C51" s="9" t="s">
        <v>234</v>
      </c>
      <c r="D51" s="2" t="s">
        <v>254</v>
      </c>
      <c r="E51" s="2" t="s">
        <v>15</v>
      </c>
      <c r="F51" s="2" t="s">
        <v>255</v>
      </c>
      <c r="G51" s="2" t="s">
        <v>213</v>
      </c>
      <c r="H51" s="2" t="s">
        <v>204</v>
      </c>
      <c r="I51" s="2" t="s">
        <v>256</v>
      </c>
      <c r="J51" s="2" t="s">
        <v>20</v>
      </c>
      <c r="K51" s="4"/>
      <c r="L51" s="4"/>
    </row>
    <row r="52" ht="25.5" customHeight="1">
      <c r="A52" s="2" t="s">
        <v>11</v>
      </c>
      <c r="B52" s="2" t="s">
        <v>257</v>
      </c>
      <c r="C52" s="9" t="s">
        <v>234</v>
      </c>
      <c r="D52" s="2" t="s">
        <v>258</v>
      </c>
      <c r="E52" s="2" t="s">
        <v>15</v>
      </c>
      <c r="F52" s="2" t="s">
        <v>259</v>
      </c>
      <c r="G52" s="2" t="s">
        <v>260</v>
      </c>
      <c r="H52" s="2" t="s">
        <v>261</v>
      </c>
      <c r="I52" s="2" t="s">
        <v>262</v>
      </c>
      <c r="J52" s="2" t="s">
        <v>20</v>
      </c>
      <c r="K52" s="4"/>
      <c r="L52" s="4"/>
    </row>
    <row r="53" ht="25.5" customHeight="1">
      <c r="A53" s="2" t="s">
        <v>11</v>
      </c>
      <c r="B53" s="2" t="s">
        <v>263</v>
      </c>
      <c r="C53" s="9" t="s">
        <v>234</v>
      </c>
      <c r="D53" s="2" t="s">
        <v>264</v>
      </c>
      <c r="E53" s="2" t="s">
        <v>15</v>
      </c>
      <c r="F53" s="2" t="s">
        <v>265</v>
      </c>
      <c r="G53" s="2" t="s">
        <v>266</v>
      </c>
      <c r="H53" s="2" t="s">
        <v>261</v>
      </c>
      <c r="I53" s="2" t="s">
        <v>267</v>
      </c>
      <c r="J53" s="2" t="s">
        <v>20</v>
      </c>
      <c r="K53" s="4"/>
      <c r="L53" s="4"/>
    </row>
    <row r="54" ht="25.5" customHeight="1">
      <c r="A54" s="2" t="s">
        <v>11</v>
      </c>
      <c r="B54" s="2" t="s">
        <v>268</v>
      </c>
      <c r="C54" s="9" t="s">
        <v>234</v>
      </c>
      <c r="D54" s="2" t="s">
        <v>269</v>
      </c>
      <c r="E54" s="2" t="s">
        <v>15</v>
      </c>
      <c r="F54" s="2" t="s">
        <v>270</v>
      </c>
      <c r="G54" s="2" t="s">
        <v>271</v>
      </c>
      <c r="H54" s="2" t="s">
        <v>261</v>
      </c>
      <c r="I54" s="2" t="s">
        <v>272</v>
      </c>
      <c r="J54" s="2" t="s">
        <v>20</v>
      </c>
      <c r="K54" s="4"/>
      <c r="L54" s="4"/>
    </row>
    <row r="55" ht="25.5" customHeight="1">
      <c r="A55" s="7" t="s">
        <v>11</v>
      </c>
      <c r="B55" s="7" t="s">
        <v>273</v>
      </c>
      <c r="C55" s="9" t="s">
        <v>234</v>
      </c>
      <c r="D55" s="7" t="s">
        <v>274</v>
      </c>
      <c r="E55" s="8" t="s">
        <v>145</v>
      </c>
      <c r="F55" s="7" t="s">
        <v>275</v>
      </c>
      <c r="G55" s="7" t="s">
        <v>276</v>
      </c>
      <c r="H55" s="7" t="s">
        <v>261</v>
      </c>
      <c r="I55" s="7" t="s">
        <v>277</v>
      </c>
      <c r="J55" s="7" t="s">
        <v>91</v>
      </c>
      <c r="K55" s="4"/>
      <c r="L55" s="4"/>
    </row>
    <row r="56" ht="25.5" customHeight="1">
      <c r="A56" s="2" t="s">
        <v>11</v>
      </c>
      <c r="B56" s="2" t="s">
        <v>278</v>
      </c>
      <c r="C56" s="9" t="s">
        <v>234</v>
      </c>
      <c r="D56" s="2" t="s">
        <v>279</v>
      </c>
      <c r="E56" s="2" t="s">
        <v>15</v>
      </c>
      <c r="F56" s="2" t="s">
        <v>280</v>
      </c>
      <c r="G56" s="2" t="s">
        <v>116</v>
      </c>
      <c r="H56" s="2" t="s">
        <v>261</v>
      </c>
      <c r="I56" s="2" t="s">
        <v>281</v>
      </c>
      <c r="J56" s="2" t="s">
        <v>20</v>
      </c>
      <c r="K56" s="4"/>
      <c r="L56" s="4"/>
    </row>
    <row r="57" ht="25.5" customHeight="1">
      <c r="A57" s="2" t="s">
        <v>11</v>
      </c>
      <c r="B57" s="2" t="s">
        <v>282</v>
      </c>
      <c r="C57" s="9" t="s">
        <v>234</v>
      </c>
      <c r="D57" s="2" t="s">
        <v>283</v>
      </c>
      <c r="E57" s="2" t="s">
        <v>42</v>
      </c>
      <c r="F57" s="2" t="s">
        <v>284</v>
      </c>
      <c r="G57" s="2" t="s">
        <v>55</v>
      </c>
      <c r="H57" s="2" t="s">
        <v>261</v>
      </c>
      <c r="I57" s="2" t="s">
        <v>285</v>
      </c>
      <c r="J57" s="2" t="s">
        <v>46</v>
      </c>
      <c r="K57" s="4"/>
      <c r="L57" s="4"/>
    </row>
    <row r="58" ht="25.5" customHeight="1">
      <c r="A58" s="2" t="s">
        <v>11</v>
      </c>
      <c r="B58" s="2" t="s">
        <v>286</v>
      </c>
      <c r="C58" s="9" t="s">
        <v>234</v>
      </c>
      <c r="D58" s="2" t="s">
        <v>287</v>
      </c>
      <c r="E58" s="2" t="s">
        <v>42</v>
      </c>
      <c r="F58" s="2" t="s">
        <v>288</v>
      </c>
      <c r="G58" s="2" t="s">
        <v>289</v>
      </c>
      <c r="H58" s="2" t="s">
        <v>261</v>
      </c>
      <c r="I58" s="2" t="s">
        <v>290</v>
      </c>
      <c r="J58" s="2" t="s">
        <v>46</v>
      </c>
      <c r="K58" s="4"/>
      <c r="L58" s="4"/>
    </row>
    <row r="59" ht="25.5" customHeight="1">
      <c r="A59" s="2" t="s">
        <v>11</v>
      </c>
      <c r="B59" s="2" t="s">
        <v>291</v>
      </c>
      <c r="C59" s="9" t="s">
        <v>234</v>
      </c>
      <c r="D59" s="2" t="s">
        <v>292</v>
      </c>
      <c r="E59" s="2" t="s">
        <v>15</v>
      </c>
      <c r="F59" s="2" t="s">
        <v>293</v>
      </c>
      <c r="G59" s="2" t="s">
        <v>294</v>
      </c>
      <c r="H59" s="2" t="s">
        <v>261</v>
      </c>
      <c r="I59" s="2" t="s">
        <v>295</v>
      </c>
      <c r="J59" s="2" t="s">
        <v>20</v>
      </c>
      <c r="K59" s="4"/>
      <c r="L59" s="4"/>
    </row>
    <row r="60" ht="25.5" customHeight="1">
      <c r="A60" s="2" t="s">
        <v>11</v>
      </c>
      <c r="B60" s="2" t="s">
        <v>296</v>
      </c>
      <c r="C60" s="9" t="s">
        <v>234</v>
      </c>
      <c r="D60" s="2" t="s">
        <v>297</v>
      </c>
      <c r="E60" s="2" t="s">
        <v>15</v>
      </c>
      <c r="F60" s="2" t="s">
        <v>298</v>
      </c>
      <c r="G60" s="2" t="s">
        <v>299</v>
      </c>
      <c r="H60" s="2" t="s">
        <v>261</v>
      </c>
      <c r="I60" s="2" t="s">
        <v>300</v>
      </c>
      <c r="J60" s="2" t="s">
        <v>20</v>
      </c>
      <c r="K60" s="4"/>
      <c r="L60" s="4"/>
    </row>
    <row r="61" ht="25.5" customHeight="1">
      <c r="A61" s="2" t="s">
        <v>11</v>
      </c>
      <c r="B61" s="2" t="s">
        <v>301</v>
      </c>
      <c r="C61" s="9" t="s">
        <v>234</v>
      </c>
      <c r="D61" s="2" t="s">
        <v>302</v>
      </c>
      <c r="E61" s="2" t="s">
        <v>15</v>
      </c>
      <c r="F61" s="2" t="s">
        <v>303</v>
      </c>
      <c r="G61" s="2" t="s">
        <v>55</v>
      </c>
      <c r="H61" s="2" t="s">
        <v>261</v>
      </c>
      <c r="I61" s="2" t="s">
        <v>304</v>
      </c>
      <c r="J61" s="2" t="s">
        <v>20</v>
      </c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</sheetData>
  <autoFilter ref="$B$1:$K$6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6" width="11.0"/>
    <col customWidth="1" min="7" max="26" width="8.71"/>
  </cols>
  <sheetData>
    <row r="1">
      <c r="A1" s="10" t="s">
        <v>305</v>
      </c>
    </row>
    <row r="3">
      <c r="A3" s="11" t="s">
        <v>306</v>
      </c>
    </row>
    <row r="4">
      <c r="A4" s="12" t="s">
        <v>307</v>
      </c>
      <c r="B4" s="12">
        <f>COUNTIF('60記事リスト'!C2:C61,"A 徒歩圏")</f>
        <v>20</v>
      </c>
    </row>
    <row r="5">
      <c r="A5" s="12" t="s">
        <v>308</v>
      </c>
      <c r="B5" s="12">
        <f>COUNTIF('60記事リスト'!C2:C61,"B 市内×用途")</f>
        <v>25</v>
      </c>
    </row>
    <row r="6">
      <c r="A6" s="12" t="s">
        <v>309</v>
      </c>
      <c r="B6" s="12">
        <f>COUNTIF('60記事リスト'!C2:C61,"C General")</f>
        <v>15</v>
      </c>
    </row>
    <row r="7">
      <c r="A7" s="10" t="s">
        <v>310</v>
      </c>
      <c r="B7" s="10">
        <f>SUM(B4:B6)</f>
        <v>60</v>
      </c>
    </row>
    <row r="9">
      <c r="A9" s="11" t="s">
        <v>311</v>
      </c>
    </row>
    <row r="10">
      <c r="A10" s="12" t="s">
        <v>145</v>
      </c>
      <c r="B10" s="12">
        <f>COUNTIF('60記事リスト'!E2:E61,"P1")</f>
        <v>6</v>
      </c>
    </row>
    <row r="11">
      <c r="A11" s="12" t="s">
        <v>42</v>
      </c>
      <c r="B11" s="12">
        <f>COUNTIF('60記事リスト'!E2:E61,"P2")</f>
        <v>9</v>
      </c>
    </row>
    <row r="12">
      <c r="A12" s="12" t="s">
        <v>15</v>
      </c>
      <c r="B12" s="12">
        <f>COUNTIF('60記事リスト'!E2:E61,"P3")</f>
        <v>45</v>
      </c>
    </row>
    <row r="14">
      <c r="A14" s="11" t="s">
        <v>312</v>
      </c>
      <c r="B14" s="11" t="s">
        <v>313</v>
      </c>
      <c r="C14" s="11" t="s">
        <v>314</v>
      </c>
    </row>
    <row r="15">
      <c r="A15" s="12" t="s">
        <v>18</v>
      </c>
      <c r="B15" s="12">
        <f>COUNTIF('60記事リスト'!H2:H61,"2026-09")</f>
        <v>9</v>
      </c>
      <c r="C15" s="12">
        <f>COUNTIFS('60記事リスト'!H2:H61,"2026-09",'60記事リスト'!A2:A61,"公開済")</f>
        <v>0</v>
      </c>
    </row>
    <row r="16">
      <c r="A16" s="12" t="s">
        <v>66</v>
      </c>
      <c r="B16" s="12">
        <f>COUNTIF('60記事リスト'!H2:H61,"2026-10")</f>
        <v>15</v>
      </c>
      <c r="C16" s="12">
        <f>COUNTIFS('60記事リスト'!H2:H61,"2026-10",'60記事リスト'!A2:A61,"公開済")</f>
        <v>0</v>
      </c>
    </row>
    <row r="17">
      <c r="A17" s="12" t="s">
        <v>137</v>
      </c>
      <c r="B17" s="12">
        <f>COUNTIF('60記事リスト'!H2:H61,"2026-11")</f>
        <v>6</v>
      </c>
      <c r="C17" s="12">
        <f>COUNTIFS('60記事リスト'!H2:H61,"2026-11",'60記事リスト'!A2:A61,"公開済")</f>
        <v>0</v>
      </c>
    </row>
    <row r="18">
      <c r="A18" s="12" t="s">
        <v>165</v>
      </c>
      <c r="B18" s="12">
        <f>COUNTIF('60記事リスト'!H2:H61,"2026-12")</f>
        <v>8</v>
      </c>
      <c r="C18" s="12">
        <f>COUNTIFS('60記事リスト'!H2:H61,"2026-12",'60記事リスト'!A2:A61,"公開済")</f>
        <v>0</v>
      </c>
    </row>
    <row r="19">
      <c r="A19" s="12" t="s">
        <v>204</v>
      </c>
      <c r="B19" s="12">
        <f>COUNTIF('60記事リスト'!H2:H61,"2027-01")</f>
        <v>12</v>
      </c>
      <c r="C19" s="12">
        <f>COUNTIFS('60記事リスト'!H2:H61,"2027-01",'60記事リスト'!A2:A61,"公開済")</f>
        <v>0</v>
      </c>
    </row>
    <row r="20">
      <c r="A20" s="12" t="s">
        <v>261</v>
      </c>
      <c r="B20" s="12">
        <f>COUNTIF('60記事リスト'!H2:H61,"2027-02")</f>
        <v>10</v>
      </c>
      <c r="C20" s="12">
        <f>COUNTIFS('60記事リスト'!H2:H61,"2027-02",'60記事リスト'!A2:A61,"公開済")</f>
        <v>0</v>
      </c>
    </row>
    <row r="21" ht="15.75" customHeight="1"/>
    <row r="22" ht="15.75" customHeight="1">
      <c r="A22" s="11" t="s">
        <v>315</v>
      </c>
    </row>
    <row r="23" ht="15.75" customHeight="1">
      <c r="A23" s="12" t="s">
        <v>11</v>
      </c>
      <c r="B23" s="12">
        <f>COUNTIF('60記事リスト'!A2:A61,"未着手")</f>
        <v>60</v>
      </c>
    </row>
    <row r="24" ht="15.75" customHeight="1">
      <c r="A24" s="12" t="s">
        <v>316</v>
      </c>
      <c r="B24" s="12">
        <f>COUNTIF('60記事リスト'!A2:A61,"取材済")</f>
        <v>0</v>
      </c>
    </row>
    <row r="25" ht="15.75" customHeight="1">
      <c r="A25" s="12" t="s">
        <v>317</v>
      </c>
      <c r="B25" s="12">
        <f>COUNTIF('60記事リスト'!A2:A61,"draft投入")</f>
        <v>0</v>
      </c>
    </row>
    <row r="26" ht="15.75" customHeight="1">
      <c r="A26" s="12" t="s">
        <v>318</v>
      </c>
      <c r="B26" s="12">
        <f>COUNTIF('60記事リスト'!A2:A61,"QA中")</f>
        <v>0</v>
      </c>
    </row>
    <row r="27" ht="15.75" customHeight="1">
      <c r="A27" s="12" t="s">
        <v>314</v>
      </c>
      <c r="B27" s="12">
        <f>COUNTIF('60記事リスト'!A2:A61,"公開済")</f>
        <v>0</v>
      </c>
    </row>
    <row r="28" ht="15.75" customHeight="1"/>
    <row r="29" ht="15.75" customHeight="1">
      <c r="A29" s="11" t="s">
        <v>319</v>
      </c>
    </row>
    <row r="30" ht="15.75" customHeight="1">
      <c r="A30" s="12" t="s">
        <v>320</v>
      </c>
    </row>
    <row r="31" ht="15.75" customHeight="1">
      <c r="A31" s="12" t="s">
        <v>321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2026-07-22T03:44:59Z</dcterms:created>
  <dc:creator>openpyxl</dc:creator>
</cp:coreProperties>
</file>